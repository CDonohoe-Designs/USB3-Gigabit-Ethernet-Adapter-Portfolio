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 A BOM" sheetId="1" r:id="rId5"/>
    <sheet state="visible" name="Document Control" sheetId="2" r:id="rId6"/>
  </sheets>
  <definedNames/>
  <calcPr/>
</workbook>
</file>

<file path=xl/sharedStrings.xml><?xml version="1.0" encoding="utf-8"?>
<sst xmlns="http://schemas.openxmlformats.org/spreadsheetml/2006/main" count="246" uniqueCount="166">
  <si>
    <t>DOCUMENT CONTROL  /  BOM-001</t>
  </si>
  <si>
    <t>Document number</t>
  </si>
  <si>
    <t>LAN7800-BOM-001</t>
  </si>
  <si>
    <t>Document title</t>
  </si>
  <si>
    <t>LAN7800 USB 3.x to Gigabit Ethernet Adapter — BOM</t>
  </si>
  <si>
    <t>Hardware revision</t>
  </si>
  <si>
    <t>Rev A</t>
  </si>
  <si>
    <t>BOM revision</t>
  </si>
  <si>
    <t>A</t>
  </si>
  <si>
    <t>Issue date</t>
  </si>
  <si>
    <t>2026-10-10</t>
  </si>
  <si>
    <t>Document classification</t>
  </si>
  <si>
    <t>PRODUCTION APPROVED — PORTFOLIO SIMULATION (NOT AN ACTUAL RELEASE)</t>
  </si>
  <si>
    <t>Source</t>
  </si>
  <si>
    <t>Altium grouped BOM: LAN7800_USB_Ethernet_RevA.csv</t>
  </si>
  <si>
    <t>BOM count</t>
  </si>
  <si>
    <t>22 lines; 48 physical components</t>
  </si>
  <si>
    <t>Prepared for</t>
  </si>
  <si>
    <t>Engineering showcase / client proposal; simulated release workflow</t>
  </si>
  <si>
    <t>Selection approach</t>
  </si>
  <si>
    <t>Every row assigned a proposed manufacturer and orderable-looking MPN</t>
  </si>
  <si>
    <t>Traceability</t>
  </si>
  <si>
    <t>Source values retained in separate column</t>
  </si>
  <si>
    <t>Passive qualification</t>
  </si>
  <si>
    <t>Representative MPNs; rating, DC bias, sourcing and actual PCB compatibility not independently approved.</t>
  </si>
  <si>
    <t>Rev</t>
  </si>
  <si>
    <t>Revision history / notes</t>
  </si>
  <si>
    <t>A.1</t>
  </si>
  <si>
    <t>Design review notes added to all 22 BOM lines (portfolio documentation update; no new test or engineering sign-off).</t>
  </si>
  <si>
    <t>LAN7800  /  USB 3.1 Gen 1 → Gigabit Ethernet</t>
  </si>
  <si>
    <t>CONTROLLED BOM  •  REV A  |  PRODUCTION APPROVED</t>
  </si>
  <si>
    <t>Document No.</t>
  </si>
  <si>
    <t>Hardware Rev.</t>
  </si>
  <si>
    <t>BOM Rev.</t>
  </si>
  <si>
    <t>Assembly Qty</t>
  </si>
  <si>
    <t>100 board</t>
  </si>
  <si>
    <t>Altium schematic BOM export</t>
  </si>
  <si>
    <t>Approval</t>
  </si>
  <si>
    <t xml:space="preserve">Approved </t>
  </si>
  <si>
    <t>Procurement</t>
  </si>
  <si>
    <t>Authorised</t>
  </si>
  <si>
    <t>Placement count</t>
  </si>
  <si>
    <t>Line</t>
  </si>
  <si>
    <t>Designator(s)</t>
  </si>
  <si>
    <t>Qty</t>
  </si>
  <si>
    <t>Source value / ID</t>
  </si>
  <si>
    <t>Portfolio value</t>
  </si>
  <si>
    <t>Component specification</t>
  </si>
  <si>
    <t>Footprint</t>
  </si>
  <si>
    <t>Manufacturer</t>
  </si>
  <si>
    <t>Manufacturer part number</t>
  </si>
  <si>
    <t>Design review note</t>
  </si>
  <si>
    <t>Release classification</t>
  </si>
  <si>
    <t>C1, C2, C25, C29, C30</t>
  </si>
  <si>
    <t>1uF</t>
  </si>
  <si>
    <t>1 µF ±10%, 10 V, X5R, 0402</t>
  </si>
  <si>
    <t>CAP_0402</t>
  </si>
  <si>
    <t>Murata</t>
  </si>
  <si>
    <t>GRM155R61A105KE15D</t>
  </si>
  <si>
    <t>1 µF MLCC: check local decoupling placement and shortest return to ground; 0402 footprint and 10 V rating selected for showcase BOM.</t>
  </si>
  <si>
    <t>Approved</t>
  </si>
  <si>
    <t>C3</t>
  </si>
  <si>
    <t>22uF</t>
  </si>
  <si>
    <t>22 µF ±20%, 10 V, X5R, 0805</t>
  </si>
  <si>
    <t>CAP_0805</t>
  </si>
  <si>
    <t>GRM21BR61A226ME44L</t>
  </si>
  <si>
    <t>Buck input/output bulk capacitor: check ripple-current and effective capacitance under operating DC bias; confirm 0805 land pattern.</t>
  </si>
  <si>
    <t>C4</t>
  </si>
  <si>
    <t>12pF</t>
  </si>
  <si>
    <t>12 pF ±5%, 50 V, C0G, 0402</t>
  </si>
  <si>
    <t>GRM1555C1H120JA01D</t>
  </si>
  <si>
    <t>12 pF C0G capacitor: check network function, tolerance and proximity to associated high-frequency node.</t>
  </si>
  <si>
    <t>C8, C26</t>
  </si>
  <si>
    <t>220pF</t>
  </si>
  <si>
    <t>220 pF ±5%, 50 V, C0G, 0603</t>
  </si>
  <si>
    <t>CAP_0603</t>
  </si>
  <si>
    <t>GRM1885C1H221JA01D</t>
  </si>
  <si>
    <t>220 pF C0G parts: check intended filtering/EMC function and symmetry of matched interface placements.</t>
  </si>
  <si>
    <t>C9, C10, C11, C12, C13, C15, C16, C17, C18, C19, C22, C23, C31, C32</t>
  </si>
  <si>
    <t>100nF</t>
  </si>
  <si>
    <t>100 nF ±10%, 16 V, X7R, 0402</t>
  </si>
  <si>
    <t>GRM155R71C104KA88D</t>
  </si>
  <si>
    <t>100 nF bypass group: place at associated IC supply pins with short ground returns; verify rail assignment and local via access.</t>
  </si>
  <si>
    <t>C14, C20, C5</t>
  </si>
  <si>
    <t>22 µF ±20%, 6.3 V, X5R, 0603</t>
  </si>
  <si>
    <t>GRM188R60J226MEA0D</t>
  </si>
  <si>
    <t>C27, C28</t>
  </si>
  <si>
    <t>15pF</t>
  </si>
  <si>
    <t>15 pF ±5%, 50 V, C0G, 0603</t>
  </si>
  <si>
    <t>GRM1885C1H150JA01D</t>
  </si>
  <si>
    <t>15 pF C0G crystal-load group: evaluate total crystal load against pin and PCB parasitics; place symmetrically close to Y1.</t>
  </si>
  <si>
    <t>FB1</t>
  </si>
  <si>
    <t>BLM21PG221SN1D</t>
  </si>
  <si>
    <t>Ferrite bead, 220 Ω @ 100 MHz, 0805</t>
  </si>
  <si>
    <t>FP-BLM21-0_2-t0_85-e0_5-IPC_C</t>
  </si>
  <si>
    <t>Input ferrite bead: 220 Ω at 100 MHz; check current rating, DC resistance and placement at noisy/quiet supply boundary.</t>
  </si>
  <si>
    <t>FB2</t>
  </si>
  <si>
    <t>220R@100MHz</t>
  </si>
  <si>
    <t>Ferrite bead matched to FB1 for sourcing: confirm actual current path and DC drop; retain separation between filtered supply domains.</t>
  </si>
  <si>
    <t>J1</t>
  </si>
  <si>
    <t>692221030100</t>
  </si>
  <si>
    <t>USB 3.0 Type-B receptacle, through-hole</t>
  </si>
  <si>
    <t>Würth Elektronik</t>
  </si>
  <si>
    <t>USB 3.x Type-B connector: verify shield connection strategy, mounting-hole geometry and ESD/return paths at cable entry.</t>
  </si>
  <si>
    <t>J2</t>
  </si>
  <si>
    <t>HR911130A</t>
  </si>
  <si>
    <t>RJ45 integrated magnetics connector</t>
  </si>
  <si>
    <t>Hanrun</t>
  </si>
  <si>
    <t>Integrated-magnetics RJ45: verify pin mapping, centre-tap terminations, chassis/shield strategy and footprint orientation.</t>
  </si>
  <si>
    <t>L1, L2</t>
  </si>
  <si>
    <t>LQM2MPN4R7MG0L</t>
  </si>
  <si>
    <t>4.7 µH ±20% SMD inductor, 0806-class</t>
  </si>
  <si>
    <t>FP-LQM2MPN_G0-IPC_B</t>
  </si>
  <si>
    <t>4.7 µH power inductors: review regulator operating current, saturation margin, DCR and switching-node loop area.</t>
  </si>
  <si>
    <t>R1, R3, R4, R5, R6</t>
  </si>
  <si>
    <t>12k</t>
  </si>
  <si>
    <t>12 kΩ ±1%, 0402 thick-film resistor</t>
  </si>
  <si>
    <t>RES_0402</t>
  </si>
  <si>
    <t>YAGEO</t>
  </si>
  <si>
    <t>RC0402FR-0712KL</t>
  </si>
  <si>
    <t>12 kΩ resistor group: validate each network function and tolerance against schematic; common value/0402 package consolidated.</t>
  </si>
  <si>
    <t>R2</t>
  </si>
  <si>
    <t>53k6</t>
  </si>
  <si>
    <t>53.6 kΩ ±1%, 0402 thick-film resistor</t>
  </si>
  <si>
    <t>RC0402FR-0753K6L</t>
  </si>
  <si>
    <t>53.6 kΩ feedback resistor: confirm divider ratio and resulting regulator output voltage using controller reference specification.</t>
  </si>
  <si>
    <t>R7, R8</t>
  </si>
  <si>
    <t>1k</t>
  </si>
  <si>
    <t>1 kΩ ±1%, 0402 thick-film resistor</t>
  </si>
  <si>
    <t>RC0402FR-071KL</t>
  </si>
  <si>
    <t>1 kΩ resistor group: check intended pull-up/series function, permissible current and trace-to-pin location.</t>
  </si>
  <si>
    <t>R9</t>
  </si>
  <si>
    <t>2k</t>
  </si>
  <si>
    <t>2 kΩ ±1%, 0402 thick-film resistor</t>
  </si>
  <si>
    <t>RC0402FR-072KL</t>
  </si>
  <si>
    <t>2 kΩ resistor: check LAN7800 configuration/bias function and tolerance against reference application circuit.</t>
  </si>
  <si>
    <t>R10</t>
  </si>
  <si>
    <t>0R</t>
  </si>
  <si>
    <t>0 Ω jumper, 0402</t>
  </si>
  <si>
    <t>RC0402JR-070RL</t>
  </si>
  <si>
    <t>0 Ω jumper: confirm intended strap/configuration option and whether fitted by default; include population state in assembly notes.</t>
  </si>
  <si>
    <t>U1</t>
  </si>
  <si>
    <t>TLV62568DBVR</t>
  </si>
  <si>
    <t>1 A synchronous buck regulator, SOT-23-5</t>
  </si>
  <si>
    <t>FP-DBV0005A-MFG</t>
  </si>
  <si>
    <t>Texas Instruments</t>
  </si>
  <si>
    <t>TLV62568 buck converter: check feedback/EN topology, input/output capacitor selection, SW-loop layout and power dissipation.</t>
  </si>
  <si>
    <t>U2</t>
  </si>
  <si>
    <t>ESD7008MUTAG</t>
  </si>
  <si>
    <t>High-speed USB ESD protection, UDFN-18</t>
  </si>
  <si>
    <t>ONSC-UDFN-18-517BV_V</t>
  </si>
  <si>
    <t>onsemi</t>
  </si>
  <si>
    <t>ESD7008 high-speed protection: single physical IC represented by U2A/U2B/U2C; review pin assignment, low-stub USB routing and grounding.</t>
  </si>
  <si>
    <t>U3</t>
  </si>
  <si>
    <t>LAN7800-I/Y9X</t>
  </si>
  <si>
    <t>USB 3.x to Gigabit Ethernet controller, 48-SQFN</t>
  </si>
  <si>
    <t>FP-48SQFN-5304-7x7B-IPC_B</t>
  </si>
  <si>
    <t>Microchip Technology</t>
  </si>
  <si>
    <t>LAN7800 controller: review power-sequencing, strap pins, clock routing, USB 90 Ω and Ethernet 100 Ω differential pair constraints.</t>
  </si>
  <si>
    <t>Y1</t>
  </si>
  <si>
    <t>ABM8G-25.000MHZ-B4Y-T</t>
  </si>
  <si>
    <t>25 MHz crystal, 10 pF load, 3.2 × 2.5 mm</t>
  </si>
  <si>
    <t>FP-ABM8G-MFG</t>
  </si>
  <si>
    <t>Abracon</t>
  </si>
  <si>
    <t>25 MHz crystal: evaluate specified load capacitance, frequency tolerance, start-up margin and compact symmetric placement.</t>
  </si>
  <si>
    <t>Total physical 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</si>
</sst>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1F354B"/>
      <name val="Carlito"/>
    </font>
    <font>
      <sz val="11.0"/>
      <color theme="1"/>
      <name val="Carlito"/>
    </font>
    <font>
      <b/>
      <sz val="11.0"/>
      <color rgb="FFFFFFFF"/>
      <name val="Carlito"/>
    </font>
    <font>
      <color theme="1"/>
      <name val="Carlito"/>
    </font>
    <font>
      <b/>
      <sz val="17.0"/>
      <color rgb="FFFFFFFF"/>
      <name val="Carlito"/>
    </font>
    <font>
      <sz val="11.0"/>
      <color rgb="FF925C0C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F354B"/>
        <bgColor rgb="FF1F354B"/>
      </patternFill>
    </fill>
    <fill>
      <patternFill patternType="solid">
        <fgColor rgb="FFEAF0F5"/>
        <bgColor rgb="FFEAF0F5"/>
      </patternFill>
    </fill>
    <fill>
      <patternFill patternType="solid">
        <fgColor rgb="FF336783"/>
        <bgColor rgb="FF336783"/>
      </patternFill>
    </fill>
    <fill>
      <patternFill patternType="solid">
        <fgColor rgb="FFF4F8FB"/>
        <bgColor rgb="FFF4F8FB"/>
      </patternFill>
    </fill>
    <fill>
      <patternFill patternType="solid">
        <fgColor rgb="FFFFF1D0"/>
        <bgColor rgb="FFFFF1D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0" fontId="3" numFmtId="0" xfId="0" applyAlignment="1" applyFont="1">
      <alignment shrinkToFit="0" wrapText="1"/>
    </xf>
    <xf borderId="0" fillId="4" fontId="4" numFmtId="0" xfId="0" applyFill="1" applyFont="1"/>
    <xf borderId="0" fillId="0" fontId="5" numFmtId="0" xfId="0" applyFont="1"/>
    <xf borderId="0" fillId="2" fontId="6" numFmtId="0" xfId="0" applyAlignment="1" applyFill="1" applyFont="1">
      <alignment vertical="center"/>
    </xf>
    <xf borderId="0" fillId="4" fontId="4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5" fontId="3" numFmtId="0" xfId="0" applyAlignment="1" applyFill="1" applyFont="1">
      <alignment shrinkToFit="0" vertical="center" wrapText="1"/>
    </xf>
    <xf borderId="0" fillId="6" fontId="7" numFmtId="0" xfId="0" applyAlignment="1" applyFill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Rev A BO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K30" displayName="LAN7800_RevA_BOM" name="LAN7800_RevA_BOM" id="1">
  <tableColumns count="11">
    <tableColumn name="Line" id="1"/>
    <tableColumn name="Designator(s)" id="2"/>
    <tableColumn name="Qty" id="3"/>
    <tableColumn name="Source value / ID" id="4"/>
    <tableColumn name="Portfolio value" id="5"/>
    <tableColumn name="Component specification" id="6"/>
    <tableColumn name="Footprint" id="7"/>
    <tableColumn name="Manufacturer" id="8"/>
    <tableColumn name="Manufacturer part number" id="9"/>
    <tableColumn name="Design review note" id="10"/>
    <tableColumn name="Release classification" id="11"/>
  </tableColumns>
  <tableStyleInfo name="Rev A BO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0"/>
    <col customWidth="1" min="2" max="2" width="30.0"/>
    <col customWidth="1" min="3" max="3" width="8.0"/>
    <col customWidth="1" min="4" max="4" width="25.0"/>
    <col customWidth="1" min="5" max="5" width="23.0"/>
    <col customWidth="1" min="6" max="6" width="54.0"/>
    <col customWidth="1" min="7" max="7" width="34.0"/>
    <col customWidth="1" min="8" max="8" width="26.0"/>
    <col customWidth="1" min="9" max="9" width="34.0"/>
    <col customWidth="1" min="10" max="10" width="78.0"/>
    <col customWidth="1" min="11" max="11" width="22.0"/>
  </cols>
  <sheetData>
    <row r="1" ht="28.5" customHeight="1">
      <c r="A1" s="6" t="s">
        <v>29</v>
      </c>
    </row>
    <row r="2" ht="28.5" customHeight="1"/>
    <row r="3" ht="27.75" customHeight="1">
      <c r="A3" s="4" t="s">
        <v>30</v>
      </c>
    </row>
    <row r="5" ht="28.5" customHeight="1">
      <c r="A5" s="2" t="s">
        <v>31</v>
      </c>
      <c r="B5" s="5" t="s">
        <v>2</v>
      </c>
      <c r="C5" s="2" t="s">
        <v>32</v>
      </c>
      <c r="D5" s="5" t="s">
        <v>8</v>
      </c>
      <c r="E5" s="2" t="s">
        <v>33</v>
      </c>
      <c r="F5" s="5" t="s">
        <v>8</v>
      </c>
      <c r="G5" s="2" t="s">
        <v>34</v>
      </c>
      <c r="H5" s="5" t="s">
        <v>35</v>
      </c>
    </row>
    <row r="6" ht="28.5" customHeight="1">
      <c r="A6" s="2" t="s">
        <v>13</v>
      </c>
      <c r="B6" s="5" t="s">
        <v>36</v>
      </c>
      <c r="C6" s="2" t="s">
        <v>37</v>
      </c>
      <c r="D6" s="5" t="s">
        <v>38</v>
      </c>
      <c r="E6" s="2" t="s">
        <v>39</v>
      </c>
      <c r="F6" s="5" t="s">
        <v>40</v>
      </c>
      <c r="G6" s="2" t="s">
        <v>41</v>
      </c>
      <c r="H6" s="5">
        <v>48.0</v>
      </c>
      <c r="I6" s="2"/>
    </row>
    <row r="9" ht="33.75" customHeight="1">
      <c r="A9" s="7" t="s">
        <v>42</v>
      </c>
      <c r="B9" s="7" t="s">
        <v>43</v>
      </c>
      <c r="C9" s="7" t="s">
        <v>44</v>
      </c>
      <c r="D9" s="7" t="s">
        <v>45</v>
      </c>
      <c r="E9" s="7" t="s">
        <v>46</v>
      </c>
      <c r="F9" s="7" t="s">
        <v>47</v>
      </c>
      <c r="G9" s="7" t="s">
        <v>48</v>
      </c>
      <c r="H9" s="7" t="s">
        <v>49</v>
      </c>
      <c r="I9" s="7" t="s">
        <v>50</v>
      </c>
      <c r="J9" s="7" t="s">
        <v>51</v>
      </c>
      <c r="K9" s="7" t="s">
        <v>52</v>
      </c>
    </row>
    <row r="10" ht="51.75" customHeight="1">
      <c r="A10" s="8">
        <v>1.0</v>
      </c>
      <c r="B10" s="8" t="s">
        <v>53</v>
      </c>
      <c r="C10" s="8">
        <v>5.0</v>
      </c>
      <c r="D10" s="8" t="s">
        <v>54</v>
      </c>
      <c r="E10" s="8" t="s">
        <v>54</v>
      </c>
      <c r="F10" s="8" t="s">
        <v>55</v>
      </c>
      <c r="G10" s="8" t="s">
        <v>56</v>
      </c>
      <c r="H10" s="8" t="s">
        <v>57</v>
      </c>
      <c r="I10" s="8" t="s">
        <v>58</v>
      </c>
      <c r="J10" s="8" t="s">
        <v>59</v>
      </c>
      <c r="K10" s="8" t="s">
        <v>60</v>
      </c>
    </row>
    <row r="11" ht="51.75" customHeight="1">
      <c r="A11" s="9">
        <v>2.0</v>
      </c>
      <c r="B11" s="9" t="s">
        <v>61</v>
      </c>
      <c r="C11" s="9">
        <v>1.0</v>
      </c>
      <c r="D11" s="9" t="s">
        <v>62</v>
      </c>
      <c r="E11" s="9" t="s">
        <v>62</v>
      </c>
      <c r="F11" s="9" t="s">
        <v>63</v>
      </c>
      <c r="G11" s="9" t="s">
        <v>64</v>
      </c>
      <c r="H11" s="9" t="s">
        <v>57</v>
      </c>
      <c r="I11" s="9" t="s">
        <v>65</v>
      </c>
      <c r="J11" s="9" t="s">
        <v>66</v>
      </c>
      <c r="K11" s="8" t="s">
        <v>60</v>
      </c>
    </row>
    <row r="12" ht="51.75" customHeight="1">
      <c r="A12" s="8">
        <v>3.0</v>
      </c>
      <c r="B12" s="8" t="s">
        <v>67</v>
      </c>
      <c r="C12" s="8">
        <v>1.0</v>
      </c>
      <c r="D12" s="8" t="s">
        <v>68</v>
      </c>
      <c r="E12" s="8" t="s">
        <v>68</v>
      </c>
      <c r="F12" s="8" t="s">
        <v>69</v>
      </c>
      <c r="G12" s="8" t="s">
        <v>56</v>
      </c>
      <c r="H12" s="8" t="s">
        <v>57</v>
      </c>
      <c r="I12" s="8" t="s">
        <v>70</v>
      </c>
      <c r="J12" s="8" t="s">
        <v>71</v>
      </c>
      <c r="K12" s="8" t="s">
        <v>60</v>
      </c>
    </row>
    <row r="13" ht="51.75" customHeight="1">
      <c r="A13" s="8">
        <v>5.0</v>
      </c>
      <c r="B13" s="8" t="s">
        <v>72</v>
      </c>
      <c r="C13" s="8">
        <v>2.0</v>
      </c>
      <c r="D13" s="8" t="s">
        <v>73</v>
      </c>
      <c r="E13" s="8" t="s">
        <v>73</v>
      </c>
      <c r="F13" s="8" t="s">
        <v>74</v>
      </c>
      <c r="G13" s="8" t="s">
        <v>75</v>
      </c>
      <c r="H13" s="8" t="s">
        <v>57</v>
      </c>
      <c r="I13" s="8" t="s">
        <v>76</v>
      </c>
      <c r="J13" s="8" t="s">
        <v>77</v>
      </c>
      <c r="K13" s="8" t="s">
        <v>60</v>
      </c>
    </row>
    <row r="14" ht="51.75" customHeight="1">
      <c r="A14" s="9">
        <v>6.0</v>
      </c>
      <c r="B14" s="9" t="s">
        <v>78</v>
      </c>
      <c r="C14" s="9">
        <v>14.0</v>
      </c>
      <c r="D14" s="9" t="s">
        <v>79</v>
      </c>
      <c r="E14" s="9" t="s">
        <v>79</v>
      </c>
      <c r="F14" s="9" t="s">
        <v>80</v>
      </c>
      <c r="G14" s="9" t="s">
        <v>56</v>
      </c>
      <c r="H14" s="9" t="s">
        <v>57</v>
      </c>
      <c r="I14" s="9" t="s">
        <v>81</v>
      </c>
      <c r="J14" s="9" t="s">
        <v>82</v>
      </c>
      <c r="K14" s="8" t="s">
        <v>60</v>
      </c>
    </row>
    <row r="15" ht="51.75" customHeight="1">
      <c r="A15" s="8">
        <v>7.0</v>
      </c>
      <c r="B15" s="8" t="s">
        <v>83</v>
      </c>
      <c r="C15" s="8">
        <v>3.0</v>
      </c>
      <c r="D15" s="8" t="s">
        <v>62</v>
      </c>
      <c r="E15" s="8" t="s">
        <v>62</v>
      </c>
      <c r="F15" s="8" t="s">
        <v>84</v>
      </c>
      <c r="G15" s="8" t="s">
        <v>75</v>
      </c>
      <c r="H15" s="8" t="s">
        <v>57</v>
      </c>
      <c r="I15" s="8" t="s">
        <v>85</v>
      </c>
      <c r="J15" s="10"/>
      <c r="K15" s="8" t="s">
        <v>60</v>
      </c>
    </row>
    <row r="16" ht="51.75" customHeight="1">
      <c r="A16" s="9">
        <v>8.0</v>
      </c>
      <c r="B16" s="9" t="s">
        <v>86</v>
      </c>
      <c r="C16" s="9">
        <v>2.0</v>
      </c>
      <c r="D16" s="9" t="s">
        <v>87</v>
      </c>
      <c r="E16" s="9" t="s">
        <v>87</v>
      </c>
      <c r="F16" s="9" t="s">
        <v>88</v>
      </c>
      <c r="G16" s="9" t="s">
        <v>75</v>
      </c>
      <c r="H16" s="9" t="s">
        <v>57</v>
      </c>
      <c r="I16" s="9" t="s">
        <v>89</v>
      </c>
      <c r="J16" s="9" t="s">
        <v>90</v>
      </c>
      <c r="K16" s="8" t="s">
        <v>60</v>
      </c>
    </row>
    <row r="17" ht="51.75" customHeight="1">
      <c r="A17" s="8">
        <v>9.0</v>
      </c>
      <c r="B17" s="8" t="s">
        <v>91</v>
      </c>
      <c r="C17" s="8">
        <v>1.0</v>
      </c>
      <c r="D17" s="8" t="s">
        <v>92</v>
      </c>
      <c r="E17" s="8" t="s">
        <v>92</v>
      </c>
      <c r="F17" s="8" t="s">
        <v>93</v>
      </c>
      <c r="G17" s="8" t="s">
        <v>94</v>
      </c>
      <c r="H17" s="8" t="s">
        <v>57</v>
      </c>
      <c r="I17" s="8" t="s">
        <v>92</v>
      </c>
      <c r="J17" s="8" t="s">
        <v>95</v>
      </c>
      <c r="K17" s="8" t="s">
        <v>60</v>
      </c>
    </row>
    <row r="18" ht="51.75" customHeight="1">
      <c r="A18" s="9">
        <v>10.0</v>
      </c>
      <c r="B18" s="9" t="s">
        <v>96</v>
      </c>
      <c r="C18" s="9">
        <v>1.0</v>
      </c>
      <c r="D18" s="9" t="s">
        <v>97</v>
      </c>
      <c r="E18" s="9" t="s">
        <v>97</v>
      </c>
      <c r="F18" s="9" t="s">
        <v>93</v>
      </c>
      <c r="G18" s="9" t="s">
        <v>94</v>
      </c>
      <c r="H18" s="9" t="s">
        <v>57</v>
      </c>
      <c r="I18" s="9" t="s">
        <v>92</v>
      </c>
      <c r="J18" s="9" t="s">
        <v>98</v>
      </c>
      <c r="K18" s="8" t="s">
        <v>60</v>
      </c>
    </row>
    <row r="19" ht="51.75" customHeight="1">
      <c r="A19" s="8">
        <v>11.0</v>
      </c>
      <c r="B19" s="8" t="s">
        <v>99</v>
      </c>
      <c r="C19" s="8">
        <v>1.0</v>
      </c>
      <c r="D19" s="8" t="s">
        <v>100</v>
      </c>
      <c r="E19" s="8" t="s">
        <v>100</v>
      </c>
      <c r="F19" s="8" t="s">
        <v>101</v>
      </c>
      <c r="G19" s="8" t="s">
        <v>100</v>
      </c>
      <c r="H19" s="8" t="s">
        <v>102</v>
      </c>
      <c r="I19" s="8" t="s">
        <v>100</v>
      </c>
      <c r="J19" s="8" t="s">
        <v>103</v>
      </c>
      <c r="K19" s="8" t="s">
        <v>60</v>
      </c>
    </row>
    <row r="20" ht="51.75" customHeight="1">
      <c r="A20" s="9">
        <v>12.0</v>
      </c>
      <c r="B20" s="9" t="s">
        <v>104</v>
      </c>
      <c r="C20" s="9">
        <v>1.0</v>
      </c>
      <c r="D20" s="9" t="s">
        <v>105</v>
      </c>
      <c r="E20" s="9" t="s">
        <v>105</v>
      </c>
      <c r="F20" s="9" t="s">
        <v>106</v>
      </c>
      <c r="G20" s="9" t="s">
        <v>105</v>
      </c>
      <c r="H20" s="9" t="s">
        <v>107</v>
      </c>
      <c r="I20" s="9" t="s">
        <v>105</v>
      </c>
      <c r="J20" s="9" t="s">
        <v>108</v>
      </c>
      <c r="K20" s="8" t="s">
        <v>60</v>
      </c>
    </row>
    <row r="21" ht="51.75" customHeight="1">
      <c r="A21" s="8">
        <v>13.0</v>
      </c>
      <c r="B21" s="8" t="s">
        <v>109</v>
      </c>
      <c r="C21" s="8">
        <v>2.0</v>
      </c>
      <c r="D21" s="8" t="s">
        <v>110</v>
      </c>
      <c r="E21" s="8" t="s">
        <v>110</v>
      </c>
      <c r="F21" s="8" t="s">
        <v>111</v>
      </c>
      <c r="G21" s="8" t="s">
        <v>112</v>
      </c>
      <c r="H21" s="8" t="s">
        <v>57</v>
      </c>
      <c r="I21" s="8" t="s">
        <v>110</v>
      </c>
      <c r="J21" s="8" t="s">
        <v>113</v>
      </c>
      <c r="K21" s="8" t="s">
        <v>60</v>
      </c>
    </row>
    <row r="22" ht="51.75" customHeight="1">
      <c r="A22" s="9">
        <v>14.0</v>
      </c>
      <c r="B22" s="9" t="s">
        <v>114</v>
      </c>
      <c r="C22" s="9">
        <v>5.0</v>
      </c>
      <c r="D22" s="9" t="s">
        <v>115</v>
      </c>
      <c r="E22" s="9" t="s">
        <v>115</v>
      </c>
      <c r="F22" s="9" t="s">
        <v>116</v>
      </c>
      <c r="G22" s="9" t="s">
        <v>117</v>
      </c>
      <c r="H22" s="9" t="s">
        <v>118</v>
      </c>
      <c r="I22" s="9" t="s">
        <v>119</v>
      </c>
      <c r="J22" s="9" t="s">
        <v>120</v>
      </c>
      <c r="K22" s="8" t="s">
        <v>60</v>
      </c>
    </row>
    <row r="23" ht="51.75" customHeight="1">
      <c r="A23" s="8">
        <v>15.0</v>
      </c>
      <c r="B23" s="8" t="s">
        <v>121</v>
      </c>
      <c r="C23" s="8">
        <v>1.0</v>
      </c>
      <c r="D23" s="8" t="s">
        <v>122</v>
      </c>
      <c r="E23" s="8" t="s">
        <v>122</v>
      </c>
      <c r="F23" s="8" t="s">
        <v>123</v>
      </c>
      <c r="G23" s="8" t="s">
        <v>117</v>
      </c>
      <c r="H23" s="8" t="s">
        <v>118</v>
      </c>
      <c r="I23" s="8" t="s">
        <v>124</v>
      </c>
      <c r="J23" s="8" t="s">
        <v>125</v>
      </c>
      <c r="K23" s="8" t="s">
        <v>60</v>
      </c>
    </row>
    <row r="24" ht="51.75" customHeight="1">
      <c r="A24" s="9">
        <v>16.0</v>
      </c>
      <c r="B24" s="9" t="s">
        <v>126</v>
      </c>
      <c r="C24" s="9">
        <v>2.0</v>
      </c>
      <c r="D24" s="9" t="s">
        <v>127</v>
      </c>
      <c r="E24" s="9" t="s">
        <v>127</v>
      </c>
      <c r="F24" s="9" t="s">
        <v>128</v>
      </c>
      <c r="G24" s="9" t="s">
        <v>117</v>
      </c>
      <c r="H24" s="9" t="s">
        <v>118</v>
      </c>
      <c r="I24" s="9" t="s">
        <v>129</v>
      </c>
      <c r="J24" s="9" t="s">
        <v>130</v>
      </c>
      <c r="K24" s="8" t="s">
        <v>60</v>
      </c>
    </row>
    <row r="25" ht="51.75" customHeight="1">
      <c r="A25" s="8">
        <v>17.0</v>
      </c>
      <c r="B25" s="8" t="s">
        <v>131</v>
      </c>
      <c r="C25" s="8">
        <v>1.0</v>
      </c>
      <c r="D25" s="8" t="s">
        <v>132</v>
      </c>
      <c r="E25" s="8" t="s">
        <v>132</v>
      </c>
      <c r="F25" s="8" t="s">
        <v>133</v>
      </c>
      <c r="G25" s="8" t="s">
        <v>117</v>
      </c>
      <c r="H25" s="8" t="s">
        <v>118</v>
      </c>
      <c r="I25" s="8" t="s">
        <v>134</v>
      </c>
      <c r="J25" s="8" t="s">
        <v>135</v>
      </c>
      <c r="K25" s="8" t="s">
        <v>60</v>
      </c>
    </row>
    <row r="26" ht="51.75" customHeight="1">
      <c r="A26" s="9">
        <v>18.0</v>
      </c>
      <c r="B26" s="9" t="s">
        <v>136</v>
      </c>
      <c r="C26" s="9">
        <v>1.0</v>
      </c>
      <c r="D26" s="9" t="s">
        <v>137</v>
      </c>
      <c r="E26" s="9" t="s">
        <v>137</v>
      </c>
      <c r="F26" s="9" t="s">
        <v>138</v>
      </c>
      <c r="G26" s="9" t="s">
        <v>117</v>
      </c>
      <c r="H26" s="9" t="s">
        <v>118</v>
      </c>
      <c r="I26" s="9" t="s">
        <v>139</v>
      </c>
      <c r="J26" s="9" t="s">
        <v>140</v>
      </c>
      <c r="K26" s="8" t="s">
        <v>60</v>
      </c>
    </row>
    <row r="27" ht="51.75" customHeight="1">
      <c r="A27" s="8">
        <v>19.0</v>
      </c>
      <c r="B27" s="8" t="s">
        <v>141</v>
      </c>
      <c r="C27" s="8">
        <v>1.0</v>
      </c>
      <c r="D27" s="8" t="s">
        <v>142</v>
      </c>
      <c r="E27" s="8" t="s">
        <v>142</v>
      </c>
      <c r="F27" s="8" t="s">
        <v>143</v>
      </c>
      <c r="G27" s="8" t="s">
        <v>144</v>
      </c>
      <c r="H27" s="8" t="s">
        <v>145</v>
      </c>
      <c r="I27" s="8" t="s">
        <v>142</v>
      </c>
      <c r="J27" s="8" t="s">
        <v>146</v>
      </c>
      <c r="K27" s="8" t="s">
        <v>60</v>
      </c>
    </row>
    <row r="28" ht="51.75" customHeight="1">
      <c r="A28" s="9">
        <v>20.0</v>
      </c>
      <c r="B28" s="9" t="s">
        <v>147</v>
      </c>
      <c r="C28" s="9">
        <v>1.0</v>
      </c>
      <c r="D28" s="9" t="s">
        <v>148</v>
      </c>
      <c r="E28" s="9" t="s">
        <v>148</v>
      </c>
      <c r="F28" s="9" t="s">
        <v>149</v>
      </c>
      <c r="G28" s="9" t="s">
        <v>150</v>
      </c>
      <c r="H28" s="9" t="s">
        <v>151</v>
      </c>
      <c r="I28" s="9" t="s">
        <v>148</v>
      </c>
      <c r="J28" s="9" t="s">
        <v>152</v>
      </c>
      <c r="K28" s="8" t="s">
        <v>60</v>
      </c>
    </row>
    <row r="29" ht="51.75" customHeight="1">
      <c r="A29" s="8">
        <v>21.0</v>
      </c>
      <c r="B29" s="8" t="s">
        <v>153</v>
      </c>
      <c r="C29" s="8">
        <v>1.0</v>
      </c>
      <c r="D29" s="8" t="s">
        <v>154</v>
      </c>
      <c r="E29" s="8" t="s">
        <v>154</v>
      </c>
      <c r="F29" s="8" t="s">
        <v>155</v>
      </c>
      <c r="G29" s="8" t="s">
        <v>156</v>
      </c>
      <c r="H29" s="8" t="s">
        <v>157</v>
      </c>
      <c r="I29" s="8" t="s">
        <v>154</v>
      </c>
      <c r="J29" s="8" t="s">
        <v>158</v>
      </c>
      <c r="K29" s="8" t="s">
        <v>60</v>
      </c>
    </row>
    <row r="30" ht="51.75" customHeight="1">
      <c r="A30" s="9">
        <v>22.0</v>
      </c>
      <c r="B30" s="9" t="s">
        <v>159</v>
      </c>
      <c r="C30" s="9">
        <v>1.0</v>
      </c>
      <c r="D30" s="9" t="s">
        <v>160</v>
      </c>
      <c r="E30" s="9" t="s">
        <v>160</v>
      </c>
      <c r="F30" s="9" t="s">
        <v>161</v>
      </c>
      <c r="G30" s="9" t="s">
        <v>162</v>
      </c>
      <c r="H30" s="9" t="s">
        <v>163</v>
      </c>
      <c r="I30" s="9" t="s">
        <v>160</v>
      </c>
      <c r="J30" s="9" t="s">
        <v>164</v>
      </c>
      <c r="K30" s="8" t="s">
        <v>60</v>
      </c>
    </row>
    <row r="31" ht="15.75" customHeight="1"/>
    <row r="32" ht="25.5" customHeight="1">
      <c r="A32" s="2" t="s">
        <v>165</v>
      </c>
      <c r="B32" s="2"/>
      <c r="C32" s="2">
        <f>SUM(C10:C30)</f>
        <v>48</v>
      </c>
      <c r="D32" s="2"/>
      <c r="E32" s="2"/>
      <c r="F32" s="2"/>
      <c r="G32" s="2"/>
      <c r="H32" s="2"/>
      <c r="I32" s="2"/>
      <c r="J32" s="2"/>
      <c r="K32" s="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2"/>
    <mergeCell ref="A3:K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108.0"/>
    <col customWidth="1" min="3" max="6" width="8.63"/>
  </cols>
  <sheetData>
    <row r="1" ht="25.5" customHeight="1">
      <c r="A1" s="1" t="s">
        <v>0</v>
      </c>
    </row>
    <row r="2" ht="25.5" customHeight="1"/>
    <row r="5" ht="31.5" customHeight="1">
      <c r="A5" s="2" t="s">
        <v>1</v>
      </c>
      <c r="B5" s="3" t="s">
        <v>2</v>
      </c>
    </row>
    <row r="6" ht="31.5" customHeight="1">
      <c r="A6" s="2" t="s">
        <v>3</v>
      </c>
      <c r="B6" s="3" t="s">
        <v>4</v>
      </c>
    </row>
    <row r="7" ht="31.5" customHeight="1">
      <c r="A7" s="2" t="s">
        <v>5</v>
      </c>
      <c r="B7" s="3" t="s">
        <v>6</v>
      </c>
    </row>
    <row r="8" ht="31.5" customHeight="1">
      <c r="A8" s="2" t="s">
        <v>7</v>
      </c>
      <c r="B8" s="3" t="s">
        <v>8</v>
      </c>
    </row>
    <row r="9" ht="31.5" customHeight="1">
      <c r="A9" s="2" t="s">
        <v>9</v>
      </c>
      <c r="B9" s="3" t="s">
        <v>10</v>
      </c>
    </row>
    <row r="10" ht="31.5" customHeight="1">
      <c r="A10" s="2" t="s">
        <v>11</v>
      </c>
      <c r="B10" s="3" t="s">
        <v>12</v>
      </c>
    </row>
    <row r="11" ht="31.5" customHeight="1">
      <c r="A11" s="2" t="s">
        <v>13</v>
      </c>
      <c r="B11" s="3" t="s">
        <v>14</v>
      </c>
    </row>
    <row r="12" ht="31.5" customHeight="1">
      <c r="A12" s="2" t="s">
        <v>15</v>
      </c>
      <c r="B12" s="3" t="s">
        <v>16</v>
      </c>
    </row>
    <row r="13" ht="31.5" customHeight="1">
      <c r="A13" s="2" t="s">
        <v>17</v>
      </c>
      <c r="B13" s="3" t="s">
        <v>18</v>
      </c>
    </row>
    <row r="14" ht="31.5" customHeight="1">
      <c r="A14" s="2" t="s">
        <v>19</v>
      </c>
      <c r="B14" s="3" t="s">
        <v>20</v>
      </c>
    </row>
    <row r="15" ht="31.5" customHeight="1">
      <c r="A15" s="2" t="s">
        <v>21</v>
      </c>
      <c r="B15" s="3" t="s">
        <v>22</v>
      </c>
    </row>
    <row r="16" ht="31.5" customHeight="1">
      <c r="A16" s="2" t="s">
        <v>23</v>
      </c>
      <c r="B16" s="3" t="s">
        <v>24</v>
      </c>
    </row>
    <row r="18" ht="27.0" customHeight="1">
      <c r="A18" s="4" t="s">
        <v>25</v>
      </c>
      <c r="B18" s="4" t="s">
        <v>26</v>
      </c>
    </row>
    <row r="19" ht="42.75" customHeight="1">
      <c r="A19" s="5" t="s">
        <v>27</v>
      </c>
      <c r="B19" s="3" t="s">
        <v>28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D2"/>
  </mergeCells>
  <printOptions/>
  <pageMargins bottom="0.75" footer="0.0" header="0.0" left="0.7" right="0.7" top="0.75"/>
  <pageSetup orientation="landscape"/>
  <drawing r:id="rId1"/>
</worksheet>
</file>